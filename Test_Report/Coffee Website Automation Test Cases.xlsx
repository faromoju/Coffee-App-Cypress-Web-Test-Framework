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uwatobi.faromoju\Downloads\Personal_Projects\Cypress\"/>
    </mc:Choice>
  </mc:AlternateContent>
  <xr:revisionPtr revIDLastSave="0" documentId="13_ncr:1_{EC14FC9B-EE12-4EF6-A60D-D1677A2EC19B}" xr6:coauthVersionLast="47" xr6:coauthVersionMax="47" xr10:uidLastSave="{00000000-0000-0000-0000-000000000000}"/>
  <bookViews>
    <workbookView xWindow="-110" yWindow="-110" windowWidth="19420" windowHeight="11020" xr2:uid="{ABDF014B-F7FA-491D-B107-149B75D3B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L1" i="1"/>
</calcChain>
</file>

<file path=xl/sharedStrings.xml><?xml version="1.0" encoding="utf-8"?>
<sst xmlns="http://schemas.openxmlformats.org/spreadsheetml/2006/main" count="218" uniqueCount="145">
  <si>
    <t>TEST CASE ID</t>
  </si>
  <si>
    <t>TEST CASE DESCRIPTION</t>
  </si>
  <si>
    <t>EXPECTED RESULTS</t>
  </si>
  <si>
    <t>ACTUAL RESULTS</t>
  </si>
  <si>
    <t>STATUS</t>
  </si>
  <si>
    <t>COMMENTS</t>
  </si>
  <si>
    <t>TEST SUITE</t>
  </si>
  <si>
    <t>Project Name:</t>
  </si>
  <si>
    <t>Description:</t>
  </si>
  <si>
    <t>Test Objective:</t>
  </si>
  <si>
    <t>Oluwatobi Faromoju</t>
  </si>
  <si>
    <t>1.0.0</t>
  </si>
  <si>
    <t>Test Case Author:</t>
  </si>
  <si>
    <t>Test Case Version:</t>
  </si>
  <si>
    <t>Test Case Execution Date:</t>
  </si>
  <si>
    <t>Test Summary:</t>
  </si>
  <si>
    <t>PASSED</t>
  </si>
  <si>
    <t>FAILED</t>
  </si>
  <si>
    <t>IMPROVEMENT</t>
  </si>
  <si>
    <t>TOTAL</t>
  </si>
  <si>
    <t>S/No</t>
  </si>
  <si>
    <t>Buy Coffee Cart Page</t>
  </si>
  <si>
    <t>Verify that there is no total before items have been added to cart</t>
  </si>
  <si>
    <t>Verify that there is no total before items have been added to cart should work as expected</t>
  </si>
  <si>
    <t>Verify that there is no total before items have been added to cart works as expected</t>
  </si>
  <si>
    <t>PASS</t>
  </si>
  <si>
    <t>Verify that user can click Cappucino Coffee</t>
  </si>
  <si>
    <t>Verify that user can click Cappucino Coffee should work as expected</t>
  </si>
  <si>
    <t>Verify that user can click Cappucino Coffee works as expected</t>
  </si>
  <si>
    <t>Verify that user can click Mocha Coffee</t>
  </si>
  <si>
    <t>Verify that user can click Mocha Coffee should work as expected</t>
  </si>
  <si>
    <t>Verify that user can click Mocha Coffee works as expected</t>
  </si>
  <si>
    <t>Verify that user can click Espresso Con Panna Coffee</t>
  </si>
  <si>
    <t>Verify that user can click Espresso Con Panna Coffee should work as expected</t>
  </si>
  <si>
    <t>Verify that user can click Espresso Con Panna Coffee works as expected</t>
  </si>
  <si>
    <t>Verify that Cart and Total Info is correct</t>
  </si>
  <si>
    <t>Verify that Cart and Total Info is correct should work as expected</t>
  </si>
  <si>
    <t>Verify that Cart and Total Info is correct works as expected</t>
  </si>
  <si>
    <t>Verify that user can navigate to Cart Page</t>
  </si>
  <si>
    <t>Verify that user can navigate to Cart Page should work as expected</t>
  </si>
  <si>
    <t>Verify that user can navigate to Cart Page works as expected</t>
  </si>
  <si>
    <t>Verify that Cart Page Information is correct</t>
  </si>
  <si>
    <t>Verify that Cart Page Information is correct should work as expected</t>
  </si>
  <si>
    <t>Verify that Cart Page Information is correct works as expected</t>
  </si>
  <si>
    <t>Verify that user can remove one cart item on Cart Page</t>
  </si>
  <si>
    <t>Verify that user can remove one cart item on Cart Page should work as expected</t>
  </si>
  <si>
    <t>Verify that user can remove one cart item on Cart Page works as expected</t>
  </si>
  <si>
    <t>Verify that user can add one cart item on Cart Page</t>
  </si>
  <si>
    <t>Verify that user can add one cart item on Cart Page should work as expected</t>
  </si>
  <si>
    <t>Verify that user can add one cart item on Cart Page works as expected</t>
  </si>
  <si>
    <t>Verify that user can remove Cart Items on Cart Page</t>
  </si>
  <si>
    <t>Verify that user can remove Cart Items on Cart Page should work as expected</t>
  </si>
  <si>
    <t>Verify that user can remove Cart Items on Cart Page works as expected</t>
  </si>
  <si>
    <t>Verify that Cart Page and Total Information is correct</t>
  </si>
  <si>
    <t>Verify that Cart Page and Total Information is correct should work as expected</t>
  </si>
  <si>
    <t>Verify that Cart Page and Total Information is correct works as expected</t>
  </si>
  <si>
    <t>Verify that user can open and close Payment Details</t>
  </si>
  <si>
    <t>Verify that user can open and close Payment Details should work as expected</t>
  </si>
  <si>
    <t>Verify that user can open and close Payment Details works as expected</t>
  </si>
  <si>
    <t>Verify that user can fill payment details</t>
  </si>
  <si>
    <t>Verify that user can fill payment details should work as expected</t>
  </si>
  <si>
    <t>Verify that user can fill payment details works as expected</t>
  </si>
  <si>
    <t>Verify that user can submit and purchase Coffee Successfully</t>
  </si>
  <si>
    <t>Verify that user can submit and purchase Coffee Successfully should work as expected</t>
  </si>
  <si>
    <t>Verify that user can submit and purchase Coffee Successfully works as expected</t>
  </si>
  <si>
    <t>Get the Extra Mocha Coffee for $4</t>
  </si>
  <si>
    <t>Verify that user can click Espresso Macchiato Coffee</t>
  </si>
  <si>
    <t>Verify that user can click Espresso Macchiato Coffee should work as expected</t>
  </si>
  <si>
    <t>Verify that user can click Espresso Macchiato Coffee works as expected</t>
  </si>
  <si>
    <t>Verify that user can click Americano Coffee</t>
  </si>
  <si>
    <t>Verify that user can click Americano Coffee should work as expected</t>
  </si>
  <si>
    <t>Verify that user can click Americano Coffee works as expected</t>
  </si>
  <si>
    <t>Verify that user can click Cafe Latte Coffee</t>
  </si>
  <si>
    <t>Verify that user can click Cafe Latte Coffee should work as expected</t>
  </si>
  <si>
    <t>Verify that user can click Cafe Latte Coffee works as expected</t>
  </si>
  <si>
    <t>Verify that user can skip Extra Mocha Promo</t>
  </si>
  <si>
    <t>Verify that user can skip Extra Mocha Promo should work as expected</t>
  </si>
  <si>
    <t>Verify that user can skip Extra Mocha Promo works as expected</t>
  </si>
  <si>
    <t>Verify that user can add three more Coffees to prompt promo</t>
  </si>
  <si>
    <t>Verify that user can add three more Coffees to prompt promo should work as expected</t>
  </si>
  <si>
    <t>Verify that user can add three more Coffees to prompt promo works as expected</t>
  </si>
  <si>
    <t>Verify that user can accept Extra Mocha Promo</t>
  </si>
  <si>
    <t>Verify that user can accept Extra Mocha Promo should work as expected</t>
  </si>
  <si>
    <t>Verify that user can accept Extra Mocha Promo works as expected</t>
  </si>
  <si>
    <t>Double Click to convert name and Right Click to Add to Cart</t>
  </si>
  <si>
    <t>Verify that user can double click Coffee to convert name to Chinese</t>
  </si>
  <si>
    <t>Verify that user can double click Coffee to convert name to Chinese should work as expected</t>
  </si>
  <si>
    <t>Verify that user can double click Coffee to convert name to Chinese works as expected</t>
  </si>
  <si>
    <t>Verify that user can double click Coffee to convert name back to English</t>
  </si>
  <si>
    <t>Verify that user can double click Coffee to convert name back to English should work as expected</t>
  </si>
  <si>
    <t>Verify that user can double click Coffee to convert name back to English works as expected</t>
  </si>
  <si>
    <t>Verify that user can right click and click no to add to cart</t>
  </si>
  <si>
    <t>Verify that user can right click and click no to add to cart should work as expected</t>
  </si>
  <si>
    <t>Verify that user can right click and click no to add to cart works as expected</t>
  </si>
  <si>
    <t>Verify that user can right click and click yes to add to cart</t>
  </si>
  <si>
    <t>Verify that user can right click and click yes to add to cart should work as expected</t>
  </si>
  <si>
    <t>Verify that user can right click and click yes to add to cart works as expected</t>
  </si>
  <si>
    <t>Add Coffee to Cart</t>
  </si>
  <si>
    <t>Verify that user can add Espresso Con Panna from Total Bar</t>
  </si>
  <si>
    <t>Verify that user can add Espresso Con Panna from Total Bar should work as expected</t>
  </si>
  <si>
    <t>Verify that user can add Espresso Con Panna from Total Bar works as expected</t>
  </si>
  <si>
    <t>Verify that user can remove Cappuccino from Total Bar</t>
  </si>
  <si>
    <t>Verify that user can remove Cappuccino from Total Bar should work as expected</t>
  </si>
  <si>
    <t>Verify that user can remove Cappuccino from Total Bar works as expected</t>
  </si>
  <si>
    <t>BC_01</t>
  </si>
  <si>
    <t>BC_02</t>
  </si>
  <si>
    <t>BC_03</t>
  </si>
  <si>
    <t>BC_04</t>
  </si>
  <si>
    <t>BC_05</t>
  </si>
  <si>
    <t>BC_06</t>
  </si>
  <si>
    <t>BC_07</t>
  </si>
  <si>
    <t>BC_08</t>
  </si>
  <si>
    <t>BC_09</t>
  </si>
  <si>
    <t>BC_10</t>
  </si>
  <si>
    <t>BC_11</t>
  </si>
  <si>
    <t>BC_12</t>
  </si>
  <si>
    <t>BC_13</t>
  </si>
  <si>
    <t>BC_14</t>
  </si>
  <si>
    <t>GE_01</t>
  </si>
  <si>
    <t>GE_02</t>
  </si>
  <si>
    <t>GE_03</t>
  </si>
  <si>
    <t>GE_04</t>
  </si>
  <si>
    <t>GE_05</t>
  </si>
  <si>
    <t>GE_06</t>
  </si>
  <si>
    <t>GE_07</t>
  </si>
  <si>
    <t>GE_08</t>
  </si>
  <si>
    <t>GE_09</t>
  </si>
  <si>
    <t>GE_10</t>
  </si>
  <si>
    <t>GF_01</t>
  </si>
  <si>
    <t>GF_02</t>
  </si>
  <si>
    <t>GF_03</t>
  </si>
  <si>
    <t>GF_04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</si>
  <si>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</si>
  <si>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</si>
  <si>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</si>
  <si>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</si>
  <si>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</si>
  <si>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</si>
  <si>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</si>
  <si>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</si>
  <si>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</si>
  <si>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AC_10</t>
  </si>
  <si>
    <t>Coffee Website Automation Test Cases</t>
  </si>
  <si>
    <t>A detailed test documentation to for functional and non-functional testing of the Coffee-Cart App Website</t>
  </si>
  <si>
    <t>A comprehensive evaluation of the Coffee-Cart App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</si>
</sst>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1" fillId="0" borderId="7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6C6F-AAE8-4D36-A9D0-94BD5A84F5D0}">
  <dimension ref="A1:L47"/>
  <sheetViews>
    <sheetView tabSelected="1" topLeftCell="A7" zoomScale="80" zoomScaleNormal="80" workbookViewId="0">
      <selection activeCell="C4" sqref="C4:D4"/>
    </sheetView>
  </sheetViews>
  <sheetFormatPr defaultColWidth="8.90625" defaultRowHeight="14" x14ac:dyDescent="0.3"/>
  <cols>
    <col min="1" max="1" width="8.90625" style="1"/>
    <col min="2" max="2" width="20.08984375" style="1" customWidth="1"/>
    <col min="3" max="3" width="15.08984375" style="1" customWidth="1"/>
    <col min="4" max="4" width="42" style="1" customWidth="1"/>
    <col min="5" max="5" width="41.1796875" style="1" customWidth="1"/>
    <col min="6" max="6" width="44.81640625" style="1" customWidth="1"/>
    <col min="7" max="7" width="10.54296875" style="1" bestFit="1" customWidth="1"/>
    <col min="8" max="8" width="28.36328125" style="1" customWidth="1"/>
    <col min="9" max="9" width="17.1796875" style="1" customWidth="1"/>
    <col min="10" max="10" width="16.81640625" style="1" customWidth="1"/>
    <col min="11" max="11" width="27.54296875" style="1" customWidth="1"/>
    <col min="12" max="16384" width="8.90625" style="1"/>
  </cols>
  <sheetData>
    <row r="1" spans="1:12" x14ac:dyDescent="0.3">
      <c r="B1" s="2" t="s">
        <v>7</v>
      </c>
      <c r="C1" s="21" t="s">
        <v>142</v>
      </c>
      <c r="D1" s="21"/>
      <c r="F1" s="2" t="s">
        <v>12</v>
      </c>
      <c r="G1" s="15" t="s">
        <v>10</v>
      </c>
      <c r="H1" s="16"/>
      <c r="J1" s="12" t="s">
        <v>15</v>
      </c>
      <c r="K1" s="2" t="s">
        <v>16</v>
      </c>
      <c r="L1" s="2">
        <f>COUNTIF(G7:G198, "PASS")</f>
        <v>38</v>
      </c>
    </row>
    <row r="2" spans="1:12" ht="14" customHeight="1" x14ac:dyDescent="0.3">
      <c r="B2" s="8" t="s">
        <v>8</v>
      </c>
      <c r="C2" s="22" t="s">
        <v>143</v>
      </c>
      <c r="D2" s="23"/>
      <c r="F2" s="2" t="s">
        <v>13</v>
      </c>
      <c r="G2" s="17" t="s">
        <v>11</v>
      </c>
      <c r="H2" s="18"/>
      <c r="J2" s="13"/>
      <c r="K2" s="2" t="s">
        <v>17</v>
      </c>
      <c r="L2" s="2">
        <f>COUNTIF(G7:G198, "FAIL")</f>
        <v>0</v>
      </c>
    </row>
    <row r="3" spans="1:12" x14ac:dyDescent="0.3">
      <c r="B3" s="8"/>
      <c r="C3" s="24"/>
      <c r="D3" s="25"/>
      <c r="F3" s="2" t="s">
        <v>14</v>
      </c>
      <c r="G3" s="19">
        <v>45931</v>
      </c>
      <c r="H3" s="20"/>
      <c r="J3" s="13"/>
      <c r="K3" s="2" t="s">
        <v>18</v>
      </c>
      <c r="L3" s="2">
        <f>COUNTIF(G7:G198, "IMPROVEMENT")</f>
        <v>0</v>
      </c>
    </row>
    <row r="4" spans="1:12" x14ac:dyDescent="0.3">
      <c r="B4" s="2" t="s">
        <v>9</v>
      </c>
      <c r="C4" s="8" t="s">
        <v>144</v>
      </c>
      <c r="D4" s="8"/>
      <c r="J4" s="14"/>
      <c r="K4" s="2" t="s">
        <v>19</v>
      </c>
      <c r="L4" s="2">
        <f>COUNTA(G7:G198)</f>
        <v>38</v>
      </c>
    </row>
    <row r="6" spans="1:12" x14ac:dyDescent="0.3">
      <c r="A6" s="2" t="s">
        <v>20</v>
      </c>
      <c r="B6" s="2" t="s">
        <v>6</v>
      </c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</row>
    <row r="7" spans="1:12" ht="56.4" customHeight="1" x14ac:dyDescent="0.35">
      <c r="A7" s="3">
        <v>1</v>
      </c>
      <c r="B7" s="5" t="s">
        <v>21</v>
      </c>
      <c r="C7" s="3" t="s">
        <v>104</v>
      </c>
      <c r="D7" s="3" t="s">
        <v>22</v>
      </c>
      <c r="E7" s="3" t="s">
        <v>23</v>
      </c>
      <c r="F7" s="3" t="s">
        <v>24</v>
      </c>
      <c r="G7" s="3" t="s">
        <v>25</v>
      </c>
      <c r="H7" s="2"/>
    </row>
    <row r="8" spans="1:12" ht="60" customHeight="1" x14ac:dyDescent="0.35">
      <c r="A8" s="4">
        <v>2</v>
      </c>
      <c r="B8" s="6"/>
      <c r="C8" s="3" t="s">
        <v>105</v>
      </c>
      <c r="D8" s="4" t="s">
        <v>26</v>
      </c>
      <c r="E8" s="4" t="s">
        <v>27</v>
      </c>
      <c r="F8" s="4" t="s">
        <v>28</v>
      </c>
      <c r="G8" s="4" t="s">
        <v>25</v>
      </c>
      <c r="H8" s="2"/>
    </row>
    <row r="9" spans="1:12" ht="73.25" customHeight="1" x14ac:dyDescent="0.35">
      <c r="A9" s="3">
        <v>3</v>
      </c>
      <c r="B9" s="6"/>
      <c r="C9" s="3" t="s">
        <v>106</v>
      </c>
      <c r="D9" s="3" t="s">
        <v>29</v>
      </c>
      <c r="E9" s="3" t="s">
        <v>30</v>
      </c>
      <c r="F9" s="3" t="s">
        <v>31</v>
      </c>
      <c r="G9" s="3" t="s">
        <v>25</v>
      </c>
      <c r="H9" s="2"/>
    </row>
    <row r="10" spans="1:12" ht="76.75" customHeight="1" x14ac:dyDescent="0.35">
      <c r="A10" s="4">
        <v>4</v>
      </c>
      <c r="B10" s="6"/>
      <c r="C10" s="3" t="s">
        <v>107</v>
      </c>
      <c r="D10" s="4" t="s">
        <v>32</v>
      </c>
      <c r="E10" s="4" t="s">
        <v>33</v>
      </c>
      <c r="F10" s="4" t="s">
        <v>34</v>
      </c>
      <c r="G10" s="4" t="s">
        <v>25</v>
      </c>
      <c r="H10" s="2"/>
    </row>
    <row r="11" spans="1:12" ht="85.75" customHeight="1" x14ac:dyDescent="0.35">
      <c r="A11" s="3">
        <v>5</v>
      </c>
      <c r="B11" s="6"/>
      <c r="C11" s="3" t="s">
        <v>108</v>
      </c>
      <c r="D11" s="3" t="s">
        <v>35</v>
      </c>
      <c r="E11" s="3" t="s">
        <v>36</v>
      </c>
      <c r="F11" s="3" t="s">
        <v>37</v>
      </c>
      <c r="G11" s="3" t="s">
        <v>25</v>
      </c>
      <c r="H11" s="2"/>
    </row>
    <row r="12" spans="1:12" ht="94.75" customHeight="1" x14ac:dyDescent="0.35">
      <c r="A12" s="4">
        <v>6</v>
      </c>
      <c r="B12" s="6"/>
      <c r="C12" s="3" t="s">
        <v>109</v>
      </c>
      <c r="D12" s="4" t="s">
        <v>38</v>
      </c>
      <c r="E12" s="4" t="s">
        <v>39</v>
      </c>
      <c r="F12" s="4" t="s">
        <v>40</v>
      </c>
      <c r="G12" s="4" t="s">
        <v>25</v>
      </c>
      <c r="H12" s="2"/>
    </row>
    <row r="13" spans="1:12" ht="103.75" customHeight="1" x14ac:dyDescent="0.35">
      <c r="A13" s="3">
        <v>7</v>
      </c>
      <c r="B13" s="6"/>
      <c r="C13" s="3" t="s">
        <v>110</v>
      </c>
      <c r="D13" s="3" t="s">
        <v>41</v>
      </c>
      <c r="E13" s="3" t="s">
        <v>42</v>
      </c>
      <c r="F13" s="3" t="s">
        <v>43</v>
      </c>
      <c r="G13" s="3" t="s">
        <v>25</v>
      </c>
      <c r="H13" s="2"/>
    </row>
    <row r="14" spans="1:12" ht="107.4" customHeight="1" x14ac:dyDescent="0.35">
      <c r="A14" s="4">
        <v>8</v>
      </c>
      <c r="B14" s="6"/>
      <c r="C14" s="3" t="s">
        <v>111</v>
      </c>
      <c r="D14" s="4" t="s">
        <v>44</v>
      </c>
      <c r="E14" s="4" t="s">
        <v>45</v>
      </c>
      <c r="F14" s="4" t="s">
        <v>46</v>
      </c>
      <c r="G14" s="4" t="s">
        <v>25</v>
      </c>
      <c r="H14" s="2"/>
    </row>
    <row r="15" spans="1:12" ht="132" customHeight="1" x14ac:dyDescent="0.35">
      <c r="A15" s="3">
        <v>9</v>
      </c>
      <c r="B15" s="6"/>
      <c r="C15" s="3" t="s">
        <v>112</v>
      </c>
      <c r="D15" s="3" t="s">
        <v>47</v>
      </c>
      <c r="E15" s="3" t="s">
        <v>48</v>
      </c>
      <c r="F15" s="3" t="s">
        <v>49</v>
      </c>
      <c r="G15" s="3" t="s">
        <v>25</v>
      </c>
      <c r="H15" s="2"/>
    </row>
    <row r="16" spans="1:12" ht="72" customHeight="1" x14ac:dyDescent="0.35">
      <c r="A16" s="4">
        <v>10</v>
      </c>
      <c r="B16" s="6"/>
      <c r="C16" s="3" t="s">
        <v>113</v>
      </c>
      <c r="D16" s="4" t="s">
        <v>50</v>
      </c>
      <c r="E16" s="4" t="s">
        <v>51</v>
      </c>
      <c r="F16" s="4" t="s">
        <v>52</v>
      </c>
      <c r="G16" s="4" t="s">
        <v>25</v>
      </c>
      <c r="H16" s="2"/>
    </row>
    <row r="17" spans="1:8" ht="75" customHeight="1" x14ac:dyDescent="0.35">
      <c r="A17" s="3">
        <v>11</v>
      </c>
      <c r="B17" s="6"/>
      <c r="C17" s="3" t="s">
        <v>114</v>
      </c>
      <c r="D17" s="3" t="s">
        <v>53</v>
      </c>
      <c r="E17" s="3" t="s">
        <v>54</v>
      </c>
      <c r="F17" s="3" t="s">
        <v>55</v>
      </c>
      <c r="G17" s="3" t="s">
        <v>25</v>
      </c>
      <c r="H17" s="2"/>
    </row>
    <row r="18" spans="1:8" ht="93" customHeight="1" x14ac:dyDescent="0.35">
      <c r="A18" s="4">
        <v>12</v>
      </c>
      <c r="B18" s="6"/>
      <c r="C18" s="3" t="s">
        <v>115</v>
      </c>
      <c r="D18" s="4" t="s">
        <v>56</v>
      </c>
      <c r="E18" s="4" t="s">
        <v>57</v>
      </c>
      <c r="F18" s="4" t="s">
        <v>58</v>
      </c>
      <c r="G18" s="4" t="s">
        <v>25</v>
      </c>
      <c r="H18" s="2"/>
    </row>
    <row r="19" spans="1:8" ht="96.65" customHeight="1" x14ac:dyDescent="0.35">
      <c r="A19" s="3">
        <v>13</v>
      </c>
      <c r="B19" s="6"/>
      <c r="C19" s="3" t="s">
        <v>116</v>
      </c>
      <c r="D19" s="3" t="s">
        <v>59</v>
      </c>
      <c r="E19" s="3" t="s">
        <v>60</v>
      </c>
      <c r="F19" s="3" t="s">
        <v>61</v>
      </c>
      <c r="G19" s="3" t="s">
        <v>25</v>
      </c>
      <c r="H19" s="2"/>
    </row>
    <row r="20" spans="1:8" ht="126" customHeight="1" x14ac:dyDescent="0.35">
      <c r="A20" s="4">
        <v>14</v>
      </c>
      <c r="B20" s="7"/>
      <c r="C20" s="3" t="s">
        <v>117</v>
      </c>
      <c r="D20" s="4" t="s">
        <v>62</v>
      </c>
      <c r="E20" s="4" t="s">
        <v>63</v>
      </c>
      <c r="F20" s="4" t="s">
        <v>64</v>
      </c>
      <c r="G20" s="4" t="s">
        <v>25</v>
      </c>
      <c r="H20" s="2"/>
    </row>
    <row r="21" spans="1:8" ht="14.5" customHeight="1" x14ac:dyDescent="0.35">
      <c r="A21" s="9"/>
      <c r="B21" s="10"/>
      <c r="C21" s="10"/>
      <c r="D21" s="10"/>
      <c r="E21" s="10"/>
      <c r="F21" s="10"/>
      <c r="G21" s="10"/>
      <c r="H21" s="11"/>
    </row>
    <row r="22" spans="1:8" ht="90" customHeight="1" x14ac:dyDescent="0.35">
      <c r="A22" s="3">
        <v>15</v>
      </c>
      <c r="B22" s="5" t="s">
        <v>65</v>
      </c>
      <c r="C22" s="3" t="s">
        <v>118</v>
      </c>
      <c r="D22" s="3" t="s">
        <v>22</v>
      </c>
      <c r="E22" s="3" t="s">
        <v>23</v>
      </c>
      <c r="F22" s="3" t="s">
        <v>24</v>
      </c>
      <c r="G22" s="3" t="s">
        <v>25</v>
      </c>
      <c r="H22" s="2"/>
    </row>
    <row r="23" spans="1:8" ht="70.75" customHeight="1" x14ac:dyDescent="0.35">
      <c r="A23" s="4">
        <v>16</v>
      </c>
      <c r="B23" s="6"/>
      <c r="C23" s="3" t="s">
        <v>119</v>
      </c>
      <c r="D23" s="4" t="s">
        <v>66</v>
      </c>
      <c r="E23" s="4" t="s">
        <v>67</v>
      </c>
      <c r="F23" s="4" t="s">
        <v>68</v>
      </c>
      <c r="G23" s="4" t="s">
        <v>25</v>
      </c>
      <c r="H23" s="2"/>
    </row>
    <row r="24" spans="1:8" ht="75" customHeight="1" x14ac:dyDescent="0.35">
      <c r="A24" s="3">
        <v>17</v>
      </c>
      <c r="B24" s="6"/>
      <c r="C24" s="3" t="s">
        <v>120</v>
      </c>
      <c r="D24" s="3" t="s">
        <v>69</v>
      </c>
      <c r="E24" s="3" t="s">
        <v>70</v>
      </c>
      <c r="F24" s="3" t="s">
        <v>71</v>
      </c>
      <c r="G24" s="3" t="s">
        <v>25</v>
      </c>
      <c r="H24" s="2"/>
    </row>
    <row r="25" spans="1:8" ht="94.25" customHeight="1" x14ac:dyDescent="0.35">
      <c r="A25" s="4">
        <v>18</v>
      </c>
      <c r="B25" s="6"/>
      <c r="C25" s="3" t="s">
        <v>121</v>
      </c>
      <c r="D25" s="4" t="s">
        <v>72</v>
      </c>
      <c r="E25" s="4" t="s">
        <v>73</v>
      </c>
      <c r="F25" s="4" t="s">
        <v>74</v>
      </c>
      <c r="G25" s="4" t="s">
        <v>25</v>
      </c>
      <c r="H25" s="2"/>
    </row>
    <row r="26" spans="1:8" ht="95.4" customHeight="1" x14ac:dyDescent="0.35">
      <c r="A26" s="3">
        <v>19</v>
      </c>
      <c r="B26" s="6"/>
      <c r="C26" s="3" t="s">
        <v>122</v>
      </c>
      <c r="D26" s="3" t="s">
        <v>35</v>
      </c>
      <c r="E26" s="3" t="s">
        <v>36</v>
      </c>
      <c r="F26" s="3" t="s">
        <v>37</v>
      </c>
      <c r="G26" s="3" t="s">
        <v>25</v>
      </c>
      <c r="H26" s="2"/>
    </row>
    <row r="27" spans="1:8" ht="118.75" customHeight="1" x14ac:dyDescent="0.35">
      <c r="A27" s="4">
        <v>20</v>
      </c>
      <c r="B27" s="6"/>
      <c r="C27" s="3" t="s">
        <v>123</v>
      </c>
      <c r="D27" s="4" t="s">
        <v>75</v>
      </c>
      <c r="E27" s="4" t="s">
        <v>76</v>
      </c>
      <c r="F27" s="4" t="s">
        <v>77</v>
      </c>
      <c r="G27" s="4" t="s">
        <v>25</v>
      </c>
      <c r="H27" s="2"/>
    </row>
    <row r="28" spans="1:8" ht="124.75" customHeight="1" x14ac:dyDescent="0.35">
      <c r="A28" s="3">
        <v>21</v>
      </c>
      <c r="B28" s="6"/>
      <c r="C28" s="3" t="s">
        <v>124</v>
      </c>
      <c r="D28" s="3" t="s">
        <v>78</v>
      </c>
      <c r="E28" s="3" t="s">
        <v>79</v>
      </c>
      <c r="F28" s="3" t="s">
        <v>80</v>
      </c>
      <c r="G28" s="3" t="s">
        <v>25</v>
      </c>
      <c r="H28" s="2"/>
    </row>
    <row r="29" spans="1:8" ht="98.4" customHeight="1" x14ac:dyDescent="0.35">
      <c r="A29" s="4">
        <v>22</v>
      </c>
      <c r="B29" s="6"/>
      <c r="C29" s="3" t="s">
        <v>125</v>
      </c>
      <c r="D29" s="4" t="s">
        <v>35</v>
      </c>
      <c r="E29" s="4" t="s">
        <v>36</v>
      </c>
      <c r="F29" s="4" t="s">
        <v>37</v>
      </c>
      <c r="G29" s="4" t="s">
        <v>25</v>
      </c>
      <c r="H29" s="2"/>
    </row>
    <row r="30" spans="1:8" ht="106.75" customHeight="1" x14ac:dyDescent="0.35">
      <c r="A30" s="3">
        <v>23</v>
      </c>
      <c r="B30" s="6"/>
      <c r="C30" s="3" t="s">
        <v>126</v>
      </c>
      <c r="D30" s="3" t="s">
        <v>81</v>
      </c>
      <c r="E30" s="3" t="s">
        <v>82</v>
      </c>
      <c r="F30" s="3" t="s">
        <v>83</v>
      </c>
      <c r="G30" s="3" t="s">
        <v>25</v>
      </c>
      <c r="H30" s="2"/>
    </row>
    <row r="31" spans="1:8" ht="101.4" customHeight="1" x14ac:dyDescent="0.35">
      <c r="A31" s="4">
        <v>24</v>
      </c>
      <c r="B31" s="7"/>
      <c r="C31" s="3" t="s">
        <v>127</v>
      </c>
      <c r="D31" s="4" t="s">
        <v>35</v>
      </c>
      <c r="E31" s="4" t="s">
        <v>36</v>
      </c>
      <c r="F31" s="4" t="s">
        <v>37</v>
      </c>
      <c r="G31" s="4" t="s">
        <v>25</v>
      </c>
      <c r="H31" s="2"/>
    </row>
    <row r="32" spans="1:8" ht="14.5" customHeight="1" x14ac:dyDescent="0.35">
      <c r="A32" s="9"/>
      <c r="B32" s="10"/>
      <c r="C32" s="10"/>
      <c r="D32" s="10"/>
      <c r="E32" s="10"/>
      <c r="F32" s="10"/>
      <c r="G32" s="10"/>
      <c r="H32" s="11"/>
    </row>
    <row r="33" spans="1:8" ht="96.65" customHeight="1" x14ac:dyDescent="0.35">
      <c r="A33" s="3">
        <v>25</v>
      </c>
      <c r="B33" s="5" t="s">
        <v>84</v>
      </c>
      <c r="C33" s="3" t="s">
        <v>128</v>
      </c>
      <c r="D33" s="3" t="s">
        <v>85</v>
      </c>
      <c r="E33" s="3" t="s">
        <v>86</v>
      </c>
      <c r="F33" s="3" t="s">
        <v>87</v>
      </c>
      <c r="G33" s="3" t="s">
        <v>25</v>
      </c>
      <c r="H33" s="2"/>
    </row>
    <row r="34" spans="1:8" ht="108.65" customHeight="1" x14ac:dyDescent="0.35">
      <c r="A34" s="4">
        <v>26</v>
      </c>
      <c r="B34" s="6"/>
      <c r="C34" s="3" t="s">
        <v>129</v>
      </c>
      <c r="D34" s="4" t="s">
        <v>88</v>
      </c>
      <c r="E34" s="4" t="s">
        <v>89</v>
      </c>
      <c r="F34" s="4" t="s">
        <v>90</v>
      </c>
      <c r="G34" s="4" t="s">
        <v>25</v>
      </c>
      <c r="H34" s="2"/>
    </row>
    <row r="35" spans="1:8" ht="98.4" customHeight="1" x14ac:dyDescent="0.35">
      <c r="A35" s="3">
        <v>27</v>
      </c>
      <c r="B35" s="6"/>
      <c r="C35" s="3" t="s">
        <v>130</v>
      </c>
      <c r="D35" s="3" t="s">
        <v>91</v>
      </c>
      <c r="E35" s="3" t="s">
        <v>92</v>
      </c>
      <c r="F35" s="3" t="s">
        <v>93</v>
      </c>
      <c r="G35" s="3" t="s">
        <v>25</v>
      </c>
      <c r="H35" s="2"/>
    </row>
    <row r="36" spans="1:8" ht="117.65" customHeight="1" x14ac:dyDescent="0.35">
      <c r="A36" s="4">
        <v>28</v>
      </c>
      <c r="B36" s="7"/>
      <c r="C36" s="3" t="s">
        <v>131</v>
      </c>
      <c r="D36" s="4" t="s">
        <v>94</v>
      </c>
      <c r="E36" s="4" t="s">
        <v>95</v>
      </c>
      <c r="F36" s="4" t="s">
        <v>96</v>
      </c>
      <c r="G36" s="4" t="s">
        <v>25</v>
      </c>
      <c r="H36" s="2"/>
    </row>
    <row r="37" spans="1:8" ht="15.5" customHeight="1" x14ac:dyDescent="0.35">
      <c r="A37" s="9"/>
      <c r="B37" s="10"/>
      <c r="C37" s="10"/>
      <c r="D37" s="10"/>
      <c r="E37" s="10"/>
      <c r="F37" s="10"/>
      <c r="G37" s="10"/>
      <c r="H37" s="11"/>
    </row>
    <row r="38" spans="1:8" ht="29" x14ac:dyDescent="0.35">
      <c r="A38" s="3">
        <v>29</v>
      </c>
      <c r="B38" s="5" t="s">
        <v>97</v>
      </c>
      <c r="C38" s="3" t="s">
        <v>132</v>
      </c>
      <c r="D38" s="3" t="s">
        <v>22</v>
      </c>
      <c r="E38" s="3" t="s">
        <v>23</v>
      </c>
      <c r="F38" s="3" t="s">
        <v>24</v>
      </c>
      <c r="G38" s="3" t="s">
        <v>25</v>
      </c>
      <c r="H38" s="2"/>
    </row>
    <row r="39" spans="1:8" ht="29" x14ac:dyDescent="0.35">
      <c r="A39" s="4">
        <v>30</v>
      </c>
      <c r="B39" s="6"/>
      <c r="C39" s="3" t="s">
        <v>133</v>
      </c>
      <c r="D39" s="4" t="s">
        <v>26</v>
      </c>
      <c r="E39" s="4" t="s">
        <v>27</v>
      </c>
      <c r="F39" s="4" t="s">
        <v>28</v>
      </c>
      <c r="G39" s="4" t="s">
        <v>25</v>
      </c>
      <c r="H39" s="2"/>
    </row>
    <row r="40" spans="1:8" ht="29" x14ac:dyDescent="0.35">
      <c r="A40" s="3">
        <v>31</v>
      </c>
      <c r="B40" s="6"/>
      <c r="C40" s="3" t="s">
        <v>134</v>
      </c>
      <c r="D40" s="3" t="s">
        <v>29</v>
      </c>
      <c r="E40" s="3" t="s">
        <v>30</v>
      </c>
      <c r="F40" s="3" t="s">
        <v>31</v>
      </c>
      <c r="G40" s="3" t="s">
        <v>25</v>
      </c>
      <c r="H40" s="2"/>
    </row>
    <row r="41" spans="1:8" ht="29" x14ac:dyDescent="0.35">
      <c r="A41" s="4">
        <v>32</v>
      </c>
      <c r="B41" s="6"/>
      <c r="C41" s="3" t="s">
        <v>135</v>
      </c>
      <c r="D41" s="4" t="s">
        <v>32</v>
      </c>
      <c r="E41" s="4" t="s">
        <v>33</v>
      </c>
      <c r="F41" s="4" t="s">
        <v>34</v>
      </c>
      <c r="G41" s="4" t="s">
        <v>25</v>
      </c>
      <c r="H41" s="2"/>
    </row>
    <row r="42" spans="1:8" ht="29" x14ac:dyDescent="0.35">
      <c r="A42" s="3">
        <v>33</v>
      </c>
      <c r="B42" s="6"/>
      <c r="C42" s="3" t="s">
        <v>136</v>
      </c>
      <c r="D42" s="3" t="s">
        <v>35</v>
      </c>
      <c r="E42" s="3" t="s">
        <v>36</v>
      </c>
      <c r="F42" s="3" t="s">
        <v>37</v>
      </c>
      <c r="G42" s="3" t="s">
        <v>25</v>
      </c>
      <c r="H42" s="2"/>
    </row>
    <row r="43" spans="1:8" ht="29" x14ac:dyDescent="0.35">
      <c r="A43" s="4">
        <v>34</v>
      </c>
      <c r="B43" s="6"/>
      <c r="C43" s="3" t="s">
        <v>137</v>
      </c>
      <c r="D43" s="4" t="s">
        <v>98</v>
      </c>
      <c r="E43" s="4" t="s">
        <v>99</v>
      </c>
      <c r="F43" s="4" t="s">
        <v>100</v>
      </c>
      <c r="G43" s="4" t="s">
        <v>25</v>
      </c>
      <c r="H43" s="2"/>
    </row>
    <row r="44" spans="1:8" ht="29" x14ac:dyDescent="0.35">
      <c r="A44" s="3">
        <v>35</v>
      </c>
      <c r="B44" s="6"/>
      <c r="C44" s="3" t="s">
        <v>138</v>
      </c>
      <c r="D44" s="3" t="s">
        <v>101</v>
      </c>
      <c r="E44" s="3" t="s">
        <v>102</v>
      </c>
      <c r="F44" s="3" t="s">
        <v>103</v>
      </c>
      <c r="G44" s="3" t="s">
        <v>25</v>
      </c>
      <c r="H44" s="2"/>
    </row>
    <row r="45" spans="1:8" ht="29" x14ac:dyDescent="0.35">
      <c r="A45" s="4">
        <v>36</v>
      </c>
      <c r="B45" s="6"/>
      <c r="C45" s="3" t="s">
        <v>139</v>
      </c>
      <c r="D45" s="4" t="s">
        <v>56</v>
      </c>
      <c r="E45" s="4" t="s">
        <v>57</v>
      </c>
      <c r="F45" s="4" t="s">
        <v>58</v>
      </c>
      <c r="G45" s="4" t="s">
        <v>25</v>
      </c>
      <c r="H45" s="2"/>
    </row>
    <row r="46" spans="1:8" ht="29" x14ac:dyDescent="0.35">
      <c r="A46" s="3">
        <v>37</v>
      </c>
      <c r="B46" s="6"/>
      <c r="C46" s="3" t="s">
        <v>140</v>
      </c>
      <c r="D46" s="3" t="s">
        <v>59</v>
      </c>
      <c r="E46" s="3" t="s">
        <v>60</v>
      </c>
      <c r="F46" s="3" t="s">
        <v>61</v>
      </c>
      <c r="G46" s="3" t="s">
        <v>25</v>
      </c>
      <c r="H46" s="2"/>
    </row>
    <row r="47" spans="1:8" ht="29" x14ac:dyDescent="0.35">
      <c r="A47" s="4">
        <v>38</v>
      </c>
      <c r="B47" s="7"/>
      <c r="C47" s="3" t="s">
        <v>141</v>
      </c>
      <c r="D47" s="4" t="s">
        <v>62</v>
      </c>
      <c r="E47" s="4" t="s">
        <v>63</v>
      </c>
      <c r="F47" s="4" t="s">
        <v>64</v>
      </c>
      <c r="G47" s="4" t="s">
        <v>25</v>
      </c>
      <c r="H47" s="2"/>
    </row>
  </sheetData>
  <mergeCells count="15">
    <mergeCell ref="J1:J4"/>
    <mergeCell ref="G1:H1"/>
    <mergeCell ref="G2:H2"/>
    <mergeCell ref="G3:H3"/>
    <mergeCell ref="C1:D1"/>
    <mergeCell ref="C4:D4"/>
    <mergeCell ref="C2:D3"/>
    <mergeCell ref="B38:B47"/>
    <mergeCell ref="B2:B3"/>
    <mergeCell ref="A37:H37"/>
    <mergeCell ref="A32:H32"/>
    <mergeCell ref="A21:H21"/>
    <mergeCell ref="B7:B20"/>
    <mergeCell ref="B22:B31"/>
    <mergeCell ref="B33:B36"/>
  </mergeCells>
  <phoneticPr fontId="2" type="noConversion"/>
  <conditionalFormatting sqref="I56:I198">
    <cfRule type="containsText" dxfId="15" priority="70" operator="containsText" text="MAJOR">
      <formula>NOT(ISERROR(SEARCH("MAJOR",I56)))</formula>
    </cfRule>
    <cfRule type="containsText" dxfId="14" priority="71" operator="containsText" text="CRITICAL">
      <formula>NOT(ISERROR(SEARCH("CRITICAL",I56)))</formula>
    </cfRule>
  </conditionalFormatting>
  <conditionalFormatting sqref="I56:J198">
    <cfRule type="containsText" dxfId="13" priority="65" operator="containsText" text="LOW">
      <formula>NOT(ISERROR(SEARCH("LOW",I56)))</formula>
    </cfRule>
    <cfRule type="containsText" dxfId="12" priority="66" operator="containsText" text="MEDIUM">
      <formula>NOT(ISERROR(SEARCH("MEDIUM",I56)))</formula>
    </cfRule>
  </conditionalFormatting>
  <conditionalFormatting sqref="J56:J198">
    <cfRule type="containsText" dxfId="11" priority="67" operator="containsText" text="HIGH">
      <formula>NOT(ISERROR(SEARCH("HIGH",J56)))</formula>
    </cfRule>
  </conditionalFormatting>
  <conditionalFormatting sqref="G7:G198">
    <cfRule type="containsText" dxfId="10" priority="77" operator="containsText" text="PASS">
      <formula>NOT(ISERROR(SEARCH("PASS",G7)))</formula>
    </cfRule>
    <cfRule type="containsText" dxfId="9" priority="76" operator="containsText" text="FAIL">
      <formula>NOT(ISERROR(SEARCH("FAIL",G7)))</formula>
    </cfRule>
    <cfRule type="containsText" dxfId="8" priority="75" operator="containsText" text="IMPROVEMENT">
      <formula>NOT(ISERROR(SEARCH("IMPROVEMENT",G7)))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 Faromoju</dc:creator>
  <cp:lastModifiedBy>Oluwatobi Faromoju</cp:lastModifiedBy>
  <dcterms:created xsi:type="dcterms:W3CDTF">2024-09-01T05:24:50Z</dcterms:created>
  <dcterms:modified xsi:type="dcterms:W3CDTF">2025-12-26T11:03:00Z</dcterms:modified>
</cp:coreProperties>
</file>